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showInkAnnotation="0" autoCompressPictures="0"/>
  <xr:revisionPtr revIDLastSave="0" documentId="8_{AC849A1B-6114-43F4-9B69-8856A97DE246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ask List" sheetId="1" r:id="rId1"/>
    <sheet name="Developer List" sheetId="2" r:id="rId2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B5" i="2"/>
  <c r="E4" i="2"/>
  <c r="B4" i="2"/>
  <c r="E3" i="2"/>
  <c r="B3" i="2"/>
  <c r="E2" i="2"/>
  <c r="B2" i="2"/>
  <c r="B7" i="2"/>
  <c r="E7" i="2" l="1"/>
  <c r="F2" i="2"/>
  <c r="E8" i="2" l="1"/>
  <c r="G2" i="2" s="1"/>
  <c r="F5" i="2"/>
  <c r="F4" i="2"/>
  <c r="F3" i="2"/>
  <c r="G3" i="2" l="1"/>
  <c r="G4" i="2"/>
  <c r="G5" i="2"/>
  <c r="G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Konuk Kullanıcı</author>
  </authors>
  <commentList>
    <comment ref="I10" authorId="0" shapeId="0" xr:uid="{1D6EBE18-7DB3-4A65-86F8-BF265F4C98BB}">
      <text>
        <r>
          <rPr>
            <sz val="11"/>
            <rFont val="Carlito"/>
          </rPr>
          <t xml:space="preserve">Bilinmeyen Kullanıcı:
</t>
        </r>
      </text>
    </comment>
  </commentList>
</comments>
</file>

<file path=xl/sharedStrings.xml><?xml version="1.0" encoding="utf-8"?>
<sst xmlns="http://schemas.openxmlformats.org/spreadsheetml/2006/main" count="129" uniqueCount="114">
  <si>
    <t>Task ID</t>
  </si>
  <si>
    <t>Owner</t>
  </si>
  <si>
    <t>Milestone</t>
  </si>
  <si>
    <t>Commit Message</t>
  </si>
  <si>
    <t>Title / Scope</t>
  </si>
  <si>
    <t>Weight</t>
  </si>
  <si>
    <t>Start Date and Time</t>
  </si>
  <si>
    <t>Completed Date and Time</t>
  </si>
  <si>
    <t>URL</t>
  </si>
  <si>
    <t>Files</t>
  </si>
  <si>
    <t>Details</t>
  </si>
  <si>
    <t>Mert Koçyiğit</t>
  </si>
  <si>
    <t>M1</t>
  </si>
  <si>
    <t>feat: add base cell model and shared contracts</t>
  </si>
  <si>
    <t>Base cell model and shared contracts</t>
  </si>
  <si>
    <t>01/05/2026 09:59</t>
  </si>
  <si>
    <t>20/05/2026 18:00</t>
  </si>
  <si>
    <t>https://github.com/MertKocyigit/SE116_Project/commit/5ccc671030afbbaa18e51c87eb01486ca43ad362</t>
  </si>
  <si>
    <t>src/cell/Cell.java
src/cell/EmptyCell.java
src/cell/Road.java
src/interfaces/Connectable.java
src/interfaces/Producible.java
src/enums/UtilityType.java
src/enums/ServiceType.java
src/enums/ResourceType.java</t>
  </si>
  <si>
    <t>Created the core Cell hierarchy foundation, empty/road cells, shared interfaces, and common enums.</t>
  </si>
  <si>
    <t>Elif Eren Çarıkcı</t>
  </si>
  <si>
    <t>M2</t>
  </si>
  <si>
    <t>feat: implement map loading and cell creation</t>
  </si>
  <si>
    <t>Map loading and cell creation</t>
  </si>
  <si>
    <t>04/05/2026 11:00</t>
  </si>
  <si>
    <t>22/05/2026 17:29</t>
  </si>
  <si>
    <t>https://github.com/MertKocyigit/SE116_Project/commit/c6bf2be093d67f8dbc4aa651869bc4c0a3f5f1ae</t>
  </si>
  <si>
    <t>src/city/City.java</t>
  </si>
  <si>
    <t>Implemented city map loading, parsing, validation, and cell creation from map symbols.</t>
  </si>
  <si>
    <t>Deren Kocabaş</t>
  </si>
  <si>
    <t>feat: add zone types and production logic</t>
  </si>
  <si>
    <t>Zone types and production logic</t>
  </si>
  <si>
    <t>08/05/2026 12:00</t>
  </si>
  <si>
    <t>24/05/2026 18:59</t>
  </si>
  <si>
    <t>https://github.com/MertKocyigit/SE116_Project/commit/de6c0217fa721f366b98c586774d4126f7edffc1</t>
  </si>
  <si>
    <t>src/cell/zone/Zone.java
src/cell/zone/Housing.java
src/cell/zone/Industrial.java
src/cell/zone/Commercial.java</t>
  </si>
  <si>
    <t>Implemented zone abstraction and housing, industrial, and commercial production behavior.</t>
  </si>
  <si>
    <t>Arda Abacı</t>
  </si>
  <si>
    <t>M3</t>
  </si>
  <si>
    <t>feat: add utility providers</t>
  </si>
  <si>
    <t>Utility providers</t>
  </si>
  <si>
    <t>12/05/2026 14:00</t>
  </si>
  <si>
    <t>25/05/2026 14:44</t>
  </si>
  <si>
    <t>https://github.com/MertKocyigit/SE116_Project/commit/111845c620d6c03d6562b9e4570e119988f17c70</t>
  </si>
  <si>
    <t>src/cell/utility/UtilityProvider.java
src/cell/utility/PowerPlant.java
src/cell/utility/WaterStation.java
src/cell/utility/InternetHub.java</t>
  </si>
  <si>
    <t>Implemented utility provider abstraction and electricity, water, and internet provider classes.</t>
  </si>
  <si>
    <t>feat: add service providers</t>
  </si>
  <si>
    <t>Service providers</t>
  </si>
  <si>
    <t>25/05/2026 14:45</t>
  </si>
  <si>
    <t>25/05/2026 18:16</t>
  </si>
  <si>
    <t>https://github.com/MertKocyigit/SE116_Project/commit/be93a5fb8213a2c6d1439baf57b6f971fb44bafd</t>
  </si>
  <si>
    <t>src/cell/service/ServiceProvider.java
src/cell/service/PoliceStation.java
src/cell/service/Hospital.java
src/cell/service/School.java</t>
  </si>
  <si>
    <t>Implemented service provider abstraction and security, health, and education provider classes.</t>
  </si>
  <si>
    <t>M4</t>
  </si>
  <si>
    <t>feat: add command line runner</t>
  </si>
  <si>
    <t>Command line runner</t>
  </si>
  <si>
    <t>21/05/2026 10:30</t>
  </si>
  <si>
    <t>28/05/2026 20:00</t>
  </si>
  <si>
    <t>https://github.com/MertKocyigit/SE116_Project/commit/eedc830f884973b11a205822ebbe21deadba6fe8</t>
  </si>
  <si>
    <t>src/ObjectVilleGame.java</t>
  </si>
  <si>
    <t>Added command line entry point for running the ObjectVille game/simulation.</t>
  </si>
  <si>
    <t>docs: add project report</t>
  </si>
  <si>
    <t>Project report</t>
  </si>
  <si>
    <t>23/05/2026 09:59</t>
  </si>
  <si>
    <t>30/05/2026 18:00</t>
  </si>
  <si>
    <t>https://github.com/MertKocyigit/SE116_Project/commit/e65f5d358bb545ea7442e512521e97bf18a7075b</t>
  </si>
  <si>
    <t>report/ObjectVilleII_Project_Report.pdf</t>
  </si>
  <si>
    <t>Prepared and added the final project report document.</t>
  </si>
  <si>
    <t>build: add build scripts and runnable jar</t>
  </si>
  <si>
    <t>Build scripts and runnable JAR</t>
  </si>
  <si>
    <t>26/05/2026 12:00</t>
  </si>
  <si>
    <t>31/05/2026 14:18</t>
  </si>
  <si>
    <t>https://github.com/MertKocyigit/SE116_Project/commit/9c2f23209ec81237af047a892a8df76bbcd4dad5</t>
  </si>
  <si>
    <t>build.bat
build.sh
manifest.mf
ObjectVilleGame.jar</t>
  </si>
  <si>
    <t>Added build scripts, manifest file, and runnable JAR package.</t>
  </si>
  <si>
    <t>M5</t>
  </si>
  <si>
    <t>chore: add task point spreadsheet</t>
  </si>
  <si>
    <t>Task point spreadsheet</t>
  </si>
  <si>
    <t>29/05/2026 12:59</t>
  </si>
  <si>
    <t>03/06/2026 18:59</t>
  </si>
  <si>
    <t>https://github.com/MertKocyigit/SE116_Project/commit/ee9e6d7e94fc472fce72bd466311bb0ff948dc5a</t>
  </si>
  <si>
    <t>Task_Point_System.xlsx</t>
  </si>
  <si>
    <t>Added the corrected task point spreadsheet according to the submission plan.</t>
  </si>
  <si>
    <t>chore: add developer contribution list</t>
  </si>
  <si>
    <t>Developer contribution list</t>
  </si>
  <si>
    <t>31/05/2026 12:00</t>
  </si>
  <si>
    <t>04/06/2026 21:00</t>
  </si>
  <si>
    <t>https://github.com/MertKocyigit/SE116_Project/blob/main/Task_Point_System(Developer%20List).csv</t>
  </si>
  <si>
    <t>Developer_List.csv</t>
  </si>
  <si>
    <t>Added developer contribution list as a separate CSV file for the final submission.</t>
  </si>
  <si>
    <t>Developer</t>
  </si>
  <si>
    <t>Tasks</t>
  </si>
  <si>
    <t>Task IDs</t>
  </si>
  <si>
    <t>Milestones</t>
  </si>
  <si>
    <t>Total Weight</t>
  </si>
  <si>
    <t>Contribution %</t>
  </si>
  <si>
    <t>Score</t>
  </si>
  <si>
    <t>Primary Role</t>
  </si>
  <si>
    <t>1, 7, 10</t>
  </si>
  <si>
    <t>M1, M4, M5</t>
  </si>
  <si>
    <t>Core cell model, interfaces, enums; CLI runner; task spreadsheet</t>
  </si>
  <si>
    <t>2, 8, 11</t>
  </si>
  <si>
    <t>M2, M4, M5</t>
  </si>
  <si>
    <t>Map loading &amp; cell creation (City); project report; developer list</t>
  </si>
  <si>
    <t>3, 6</t>
  </si>
  <si>
    <t>M2, M3</t>
  </si>
  <si>
    <t>Zone hierarchy &amp; production logic; city simulation loop</t>
  </si>
  <si>
    <t>4, 5, 9</t>
  </si>
  <si>
    <t>M3, M4</t>
  </si>
  <si>
    <t>Utility providers; service providers; build scripts &amp; runnable JAR</t>
  </si>
  <si>
    <t>TEAM TOTAL</t>
  </si>
  <si>
    <t>Average score across all developers</t>
  </si>
  <si>
    <t>TEAM AVERAGE</t>
  </si>
  <si>
    <t>Expected points per developer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</si>
</sst>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  <font>
      <sz val="9"/>
      <color rgb="FF1F2328"/>
      <name val="Monaspace Neon"/>
      <charset val="1"/>
    </font>
    <font>
      <sz val="11"/>
      <color rgb="FF000000"/>
      <name val="Carlito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1" xfId="0" applyNumberFormat="1" applyFont="1" applyFill="1" applyBorder="1" applyAlignment="1">
      <alignment horizontal="center" vertical="top" wrapText="1"/>
    </xf>
    <xf numFmtId="0" fontId="0" fillId="0" borderId="1" xfId="0" applyNumberFormat="1" applyFont="1" applyFill="1" applyBorder="1" applyAlignment="1">
      <alignment vertical="top" wrapText="1"/>
    </xf>
    <xf numFmtId="49" fontId="0" fillId="0" borderId="1" xfId="0" applyNumberFormat="1" applyFont="1" applyFill="1" applyBorder="1" applyAlignment="1">
      <alignment vertical="top" wrapText="1"/>
    </xf>
    <xf numFmtId="1" fontId="0" fillId="0" borderId="1" xfId="0" applyNumberFormat="1" applyFont="1" applyFill="1" applyBorder="1" applyAlignment="1">
      <alignment vertical="top" wrapText="1"/>
    </xf>
    <xf numFmtId="9" fontId="0" fillId="0" borderId="1" xfId="0" applyNumberFormat="1" applyFont="1" applyFill="1" applyBorder="1" applyAlignment="1">
      <alignment vertical="top" wrapText="1"/>
    </xf>
    <xf numFmtId="49" fontId="3" fillId="0" borderId="1" xfId="1" applyNumberForma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top" wrapText="1"/>
    </xf>
    <xf numFmtId="0" fontId="2" fillId="0" borderId="1" xfId="0" applyNumberFormat="1" applyFont="1" applyFill="1" applyBorder="1" applyAlignment="1">
      <alignment vertical="top" wrapText="1"/>
    </xf>
    <xf numFmtId="1" fontId="2" fillId="0" borderId="1" xfId="0" applyNumberFormat="1" applyFont="1" applyFill="1" applyBorder="1" applyAlignment="1">
      <alignment vertical="top" wrapText="1"/>
    </xf>
    <xf numFmtId="0" fontId="4" fillId="0" borderId="0" xfId="0" applyFont="1"/>
    <xf numFmtId="14" fontId="0" fillId="0" borderId="0" xfId="0" applyNumberFormat="1"/>
    <xf numFmtId="49" fontId="3" fillId="0" borderId="0" xfId="1" applyNumberFormat="1" applyFill="1" applyAlignment="1">
      <alignment vertical="top" wrapText="1"/>
    </xf>
    <xf numFmtId="0" fontId="5" fillId="0" borderId="0" xfId="0" applyFont="1"/>
    <xf numFmtId="49" fontId="0" fillId="0" borderId="0" xfId="0" applyNumberFormat="1" applyFont="1" applyFill="1" applyAlignment="1">
      <alignment vertical="top" wrapText="1"/>
    </xf>
    <xf numFmtId="49" fontId="3" fillId="0" borderId="0" xfId="1" applyNumberFormat="1" applyAlignment="1">
      <alignment vertical="top" wrapText="1"/>
    </xf>
    <xf numFmtId="4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49" fontId="3" fillId="0" borderId="1" xfId="1" applyNumberFormat="1" applyFill="1" applyBorder="1" applyAlignment="1">
      <alignment vertical="top"/>
    </xf>
  </cellXfs>
  <cellStyles count="2">
    <cellStyle name="Hyperlink" xfId="1" xr:uid="{00000000-000B-0000-0000-000008000000}"/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ListTable" displayName="TaskListTable" ref="A1:K13">
  <tableColumns count="11">
    <tableColumn id="1" xr3:uid="{00000000-0010-0000-0000-000001000000}" name="Task ID"/>
    <tableColumn id="2" xr3:uid="{00000000-0010-0000-0000-000002000000}" name="Owner"/>
    <tableColumn id="3" xr3:uid="{00000000-0010-0000-0000-000003000000}" name="Milestone"/>
    <tableColumn id="4" xr3:uid="{00000000-0010-0000-0000-000004000000}" name="Commit Message"/>
    <tableColumn id="5" xr3:uid="{00000000-0010-0000-0000-000005000000}" name="Title / Scope"/>
    <tableColumn id="6" xr3:uid="{00000000-0010-0000-0000-000006000000}" name="Weight"/>
    <tableColumn id="7" xr3:uid="{00000000-0010-0000-0000-000007000000}" name="Start Date and Time"/>
    <tableColumn id="8" xr3:uid="{00000000-0010-0000-0000-000008000000}" name="Completed Date and Time"/>
    <tableColumn id="12" xr3:uid="{16AC5022-4054-4DDD-B3A4-4EFA6ECCCDA3}" name="URL" dataDxfId="0"/>
    <tableColumn id="9" xr3:uid="{00000000-0010-0000-0000-000009000000}" name="Files"/>
    <tableColumn id="10" xr3:uid="{00000000-0010-0000-0000-00000A000000}" name="Detail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veloperListTable" displayName="DeveloperListTable" ref="A1:H8">
  <tableColumns count="8">
    <tableColumn id="1" xr3:uid="{00000000-0010-0000-0100-000001000000}" name="Developer"/>
    <tableColumn id="2" xr3:uid="{00000000-0010-0000-0100-000002000000}" name="Tasks"/>
    <tableColumn id="3" xr3:uid="{00000000-0010-0000-0100-000003000000}" name="Task IDs"/>
    <tableColumn id="4" xr3:uid="{00000000-0010-0000-0100-000004000000}" name="Milestones"/>
    <tableColumn id="5" xr3:uid="{00000000-0010-0000-0100-000005000000}" name="Total Weight"/>
    <tableColumn id="6" xr3:uid="{00000000-0010-0000-0100-000006000000}" name="Contribution %"/>
    <tableColumn id="7" xr3:uid="{00000000-0010-0000-0100-000007000000}" name="Score"/>
    <tableColumn id="8" xr3:uid="{00000000-0010-0000-0100-000008000000}" name="Primary 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ertKocyigit/SE116_Project/commit/de6c0217fa721f366b98c586774d4126f7edffc1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github.com/MertKocyigit/SE116_Project/commit/111845c620d6c03d6562b9e4570e119988f17c70" TargetMode="External"/><Relationship Id="rId7" Type="http://schemas.openxmlformats.org/officeDocument/2006/relationships/hyperlink" Target="https://github.com/MertKocyigit/SE116_Project/commit/eedc830f884973b11a205822ebbe21deadba6fe8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github.com/MertKocyigit/SE116_Project/commit/e65f5d358bb545ea7442e512521e97bf18a7075b" TargetMode="External"/><Relationship Id="rId1" Type="http://schemas.openxmlformats.org/officeDocument/2006/relationships/hyperlink" Target="https://github.com/MertKocyigit/SE116_Project/commit/c6bf2be093d67f8dbc4aa651869bc4c0a3f5f1ae" TargetMode="External"/><Relationship Id="rId6" Type="http://schemas.openxmlformats.org/officeDocument/2006/relationships/hyperlink" Target="https://github.com/MertKocyigit/SE116_Project/commit/5ccc671030afbbaa18e51c87eb01486ca43ad362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github.com/MertKocyigit/SE116_Project/commit/9c2f23209ec81237af047a892a8df76bbcd4dad5" TargetMode="External"/><Relationship Id="rId10" Type="http://schemas.openxmlformats.org/officeDocument/2006/relationships/hyperlink" Target="https://github.com/MertKocyigit/SE116_Project/blob/main/Task_Point_System(Developer%20List).csv" TargetMode="External"/><Relationship Id="rId4" Type="http://schemas.openxmlformats.org/officeDocument/2006/relationships/hyperlink" Target="https://github.com/MertKocyigit/SE116_Project/commit/be93a5fb8213a2c6d1439baf57b6f971fb44bafd" TargetMode="External"/><Relationship Id="rId9" Type="http://schemas.openxmlformats.org/officeDocument/2006/relationships/hyperlink" Target="https://github.com/MertKocyigit/SE116_Project/commit/ee9e6d7e94fc472fce72bd466311bb0ff948dc5a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tabSelected="1" topLeftCell="A8" zoomScaleNormal="100" zoomScaleSheetLayoutView="100" workbookViewId="0">
      <selection activeCell="I10" sqref="I10"/>
    </sheetView>
  </sheetViews>
  <sheetFormatPr defaultRowHeight="15"/>
  <cols>
    <col min="1" max="1" width="10" customWidth="1"/>
    <col min="2" max="2" width="18" customWidth="1"/>
    <col min="3" max="3" width="12" customWidth="1"/>
    <col min="4" max="4" width="34" customWidth="1"/>
    <col min="5" max="5" width="28" customWidth="1"/>
    <col min="6" max="6" width="10" customWidth="1"/>
    <col min="7" max="7" width="20" customWidth="1"/>
    <col min="8" max="8" width="22" customWidth="1"/>
    <col min="9" max="9" width="38" customWidth="1"/>
    <col min="10" max="10" width="37" customWidth="1"/>
    <col min="11" max="11" width="25.25" customWidth="1"/>
  </cols>
  <sheetData>
    <row r="1" spans="1:11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</row>
    <row r="2" spans="1:11" ht="134.25">
      <c r="A2" s="2">
        <v>1</v>
      </c>
      <c r="B2" s="2" t="s">
        <v>11</v>
      </c>
      <c r="C2" s="2" t="s">
        <v>12</v>
      </c>
      <c r="D2" s="2" t="s">
        <v>13</v>
      </c>
      <c r="E2" s="2" t="s">
        <v>14</v>
      </c>
      <c r="F2" s="4">
        <v>70</v>
      </c>
      <c r="G2" s="3" t="s">
        <v>15</v>
      </c>
      <c r="H2" s="3" t="s">
        <v>16</v>
      </c>
      <c r="I2" s="6" t="s">
        <v>17</v>
      </c>
      <c r="J2" s="2" t="s">
        <v>18</v>
      </c>
      <c r="K2" s="7" t="s">
        <v>19</v>
      </c>
    </row>
    <row r="3" spans="1:11" ht="66.75">
      <c r="A3" s="2">
        <v>2</v>
      </c>
      <c r="B3" s="2" t="s">
        <v>20</v>
      </c>
      <c r="C3" s="2" t="s">
        <v>21</v>
      </c>
      <c r="D3" s="2" t="s">
        <v>22</v>
      </c>
      <c r="E3" s="2" t="s">
        <v>23</v>
      </c>
      <c r="F3" s="4">
        <v>60</v>
      </c>
      <c r="G3" s="3" t="s">
        <v>24</v>
      </c>
      <c r="H3" s="3" t="s">
        <v>25</v>
      </c>
      <c r="I3" s="6" t="s">
        <v>26</v>
      </c>
      <c r="J3" s="2" t="s">
        <v>27</v>
      </c>
      <c r="K3" s="7" t="s">
        <v>28</v>
      </c>
    </row>
    <row r="4" spans="1:11" ht="66.75">
      <c r="A4" s="2">
        <v>3</v>
      </c>
      <c r="B4" s="2" t="s">
        <v>29</v>
      </c>
      <c r="C4" s="2" t="s">
        <v>21</v>
      </c>
      <c r="D4" s="2" t="s">
        <v>30</v>
      </c>
      <c r="E4" s="2" t="s">
        <v>31</v>
      </c>
      <c r="F4" s="4">
        <v>80</v>
      </c>
      <c r="G4" s="3" t="s">
        <v>32</v>
      </c>
      <c r="H4" s="3" t="s">
        <v>33</v>
      </c>
      <c r="I4" s="6" t="s">
        <v>34</v>
      </c>
      <c r="J4" s="2" t="s">
        <v>35</v>
      </c>
      <c r="K4" s="7" t="s">
        <v>36</v>
      </c>
    </row>
    <row r="5" spans="1:11" ht="183.75">
      <c r="A5" s="2">
        <v>4</v>
      </c>
      <c r="B5" s="2" t="s">
        <v>37</v>
      </c>
      <c r="C5" s="2" t="s">
        <v>38</v>
      </c>
      <c r="D5" s="2" t="s">
        <v>39</v>
      </c>
      <c r="E5" s="2" t="s">
        <v>40</v>
      </c>
      <c r="F5" s="4">
        <v>50</v>
      </c>
      <c r="G5" s="3" t="s">
        <v>41</v>
      </c>
      <c r="H5" s="3" t="s">
        <v>42</v>
      </c>
      <c r="I5" s="6" t="s">
        <v>43</v>
      </c>
      <c r="J5" s="2" t="s">
        <v>44</v>
      </c>
      <c r="K5" s="7" t="s">
        <v>45</v>
      </c>
    </row>
    <row r="6" spans="1:11" ht="200.25">
      <c r="A6" s="2">
        <v>5</v>
      </c>
      <c r="B6" s="2" t="s">
        <v>37</v>
      </c>
      <c r="C6" s="2" t="s">
        <v>38</v>
      </c>
      <c r="D6" s="2" t="s">
        <v>46</v>
      </c>
      <c r="E6" s="2" t="s">
        <v>47</v>
      </c>
      <c r="F6" s="4">
        <v>50</v>
      </c>
      <c r="G6" s="3" t="s">
        <v>48</v>
      </c>
      <c r="H6" s="3" t="s">
        <v>49</v>
      </c>
      <c r="I6" s="6" t="s">
        <v>50</v>
      </c>
      <c r="J6" s="2" t="s">
        <v>51</v>
      </c>
      <c r="K6" s="7" t="s">
        <v>52</v>
      </c>
    </row>
    <row r="7" spans="1:11" ht="66.75">
      <c r="A7" s="2">
        <v>6</v>
      </c>
      <c r="B7" s="2" t="s">
        <v>11</v>
      </c>
      <c r="C7" s="2" t="s">
        <v>53</v>
      </c>
      <c r="D7" s="2" t="s">
        <v>54</v>
      </c>
      <c r="E7" s="2" t="s">
        <v>55</v>
      </c>
      <c r="F7" s="4">
        <v>40</v>
      </c>
      <c r="G7" s="3" t="s">
        <v>56</v>
      </c>
      <c r="H7" s="3" t="s">
        <v>57</v>
      </c>
      <c r="I7" s="6" t="s">
        <v>58</v>
      </c>
      <c r="J7" s="2" t="s">
        <v>59</v>
      </c>
      <c r="K7" s="7" t="s">
        <v>60</v>
      </c>
    </row>
    <row r="8" spans="1:11" ht="66.75">
      <c r="A8" s="2">
        <v>7</v>
      </c>
      <c r="B8" s="2" t="s">
        <v>20</v>
      </c>
      <c r="C8" s="2" t="s">
        <v>53</v>
      </c>
      <c r="D8" s="2" t="s">
        <v>61</v>
      </c>
      <c r="E8" s="2" t="s">
        <v>62</v>
      </c>
      <c r="F8" s="4">
        <v>70</v>
      </c>
      <c r="G8" s="3" t="s">
        <v>63</v>
      </c>
      <c r="H8" s="3" t="s">
        <v>64</v>
      </c>
      <c r="I8" s="6" t="s">
        <v>65</v>
      </c>
      <c r="J8" s="2" t="s">
        <v>66</v>
      </c>
      <c r="K8" s="7" t="s">
        <v>67</v>
      </c>
    </row>
    <row r="9" spans="1:11" ht="66.75">
      <c r="A9" s="2">
        <v>8</v>
      </c>
      <c r="B9" s="2" t="s">
        <v>37</v>
      </c>
      <c r="C9" s="2" t="s">
        <v>53</v>
      </c>
      <c r="D9" s="2" t="s">
        <v>68</v>
      </c>
      <c r="E9" s="2" t="s">
        <v>69</v>
      </c>
      <c r="F9" s="4">
        <v>60</v>
      </c>
      <c r="G9" s="3" t="s">
        <v>70</v>
      </c>
      <c r="H9" s="3" t="s">
        <v>71</v>
      </c>
      <c r="I9" s="6" t="s">
        <v>72</v>
      </c>
      <c r="J9" s="2" t="s">
        <v>73</v>
      </c>
      <c r="K9" s="7" t="s">
        <v>74</v>
      </c>
    </row>
    <row r="10" spans="1:11" ht="66.75">
      <c r="A10" s="7">
        <v>9</v>
      </c>
      <c r="B10" s="7" t="s">
        <v>11</v>
      </c>
      <c r="C10" s="7" t="s">
        <v>75</v>
      </c>
      <c r="D10" s="7" t="s">
        <v>76</v>
      </c>
      <c r="E10" s="7" t="s">
        <v>77</v>
      </c>
      <c r="F10" s="18">
        <v>50</v>
      </c>
      <c r="G10" s="17" t="s">
        <v>78</v>
      </c>
      <c r="H10" s="17" t="s">
        <v>79</v>
      </c>
      <c r="I10" s="16" t="s">
        <v>80</v>
      </c>
      <c r="J10" s="7" t="s">
        <v>81</v>
      </c>
      <c r="K10" s="7" t="s">
        <v>82</v>
      </c>
    </row>
    <row r="11" spans="1:11" ht="66.75">
      <c r="A11" s="2">
        <v>10</v>
      </c>
      <c r="B11" s="2" t="s">
        <v>20</v>
      </c>
      <c r="C11" s="2" t="s">
        <v>75</v>
      </c>
      <c r="D11" s="2" t="s">
        <v>83</v>
      </c>
      <c r="E11" s="2" t="s">
        <v>84</v>
      </c>
      <c r="F11" s="4">
        <v>30</v>
      </c>
      <c r="G11" s="3" t="s">
        <v>85</v>
      </c>
      <c r="H11" s="3" t="s">
        <v>86</v>
      </c>
      <c r="I11" s="19" t="s">
        <v>87</v>
      </c>
      <c r="J11" s="2" t="s">
        <v>88</v>
      </c>
      <c r="K11" s="7" t="s">
        <v>89</v>
      </c>
    </row>
    <row r="12" spans="1:11" ht="14.25">
      <c r="D12" s="11"/>
      <c r="G12" s="12"/>
      <c r="H12" s="12"/>
      <c r="I12" s="13"/>
      <c r="J12" s="14"/>
    </row>
    <row r="13" spans="1:11" ht="14.25">
      <c r="I13" s="15"/>
    </row>
    <row r="14" spans="1:11" ht="14.25"/>
    <row r="15" spans="1:11" ht="14.25"/>
  </sheetData>
  <hyperlinks>
    <hyperlink ref="I3" r:id="rId1" xr:uid="{59945524-0F6C-460F-AF0B-EA85946A8D13}"/>
    <hyperlink ref="I8" r:id="rId2" xr:uid="{E8A45308-BDDE-4FEA-936A-3084326C5340}"/>
    <hyperlink ref="I5" r:id="rId3" xr:uid="{0F2477D7-EBB0-4B3D-A4D5-32E1EFD40C6F}"/>
    <hyperlink ref="I6" r:id="rId4" xr:uid="{5E5226AF-8AF8-45FE-A90B-3B4ACB9551E4}"/>
    <hyperlink ref="I9" r:id="rId5" xr:uid="{F68F8275-4D52-4EFD-BF3F-5CEA9C74EB99}"/>
    <hyperlink ref="I2" r:id="rId6" xr:uid="{8458F199-F676-418E-97C1-2B48360A5242}"/>
    <hyperlink ref="I7" r:id="rId7" xr:uid="{981BA8E8-2AF4-4CE4-9E1C-FBBE80FD16DC}"/>
    <hyperlink ref="I4" r:id="rId8" xr:uid="{4F0FDE89-F712-4161-A14A-4E2F8A70AAAF}"/>
    <hyperlink ref="I10" r:id="rId9" xr:uid="{A6266F7B-4CA1-4500-B985-5E348DD578F5}"/>
    <hyperlink ref="I11" r:id="rId10" xr:uid="{10ED4FBA-340D-4E1A-94B2-20B9E5A8CBED}"/>
  </hyperlinks>
  <pageMargins left="0.7" right="0.7" top="0.75" bottom="0.75" header="0.3" footer="0.3"/>
  <legacyDrawing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zoomScaleSheetLayoutView="100" workbookViewId="0">
      <selection activeCell="D14" sqref="D14"/>
    </sheetView>
  </sheetViews>
  <sheetFormatPr defaultRowHeight="15"/>
  <cols>
    <col min="1" max="1" width="12.875" customWidth="1"/>
    <col min="2" max="2" width="6.875" customWidth="1"/>
    <col min="3" max="3" width="9.125" customWidth="1"/>
    <col min="4" max="4" width="11.625" customWidth="1"/>
    <col min="5" max="5" width="12.875" customWidth="1"/>
    <col min="6" max="6" width="15" customWidth="1"/>
    <col min="7" max="7" width="7.125" customWidth="1"/>
    <col min="8" max="8" width="51.25" customWidth="1"/>
  </cols>
  <sheetData>
    <row r="1" spans="1:8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</row>
    <row r="2" spans="1:8">
      <c r="A2" s="2" t="s">
        <v>11</v>
      </c>
      <c r="B2" s="2">
        <f>COUNTIF('Task List'!$B$2:$B$13,A2)</f>
        <v>3</v>
      </c>
      <c r="C2" s="2" t="s">
        <v>98</v>
      </c>
      <c r="D2" s="2" t="s">
        <v>99</v>
      </c>
      <c r="E2" s="4">
        <f>SUMIF('Task List'!$B$2:$B$13,A2,'Task List'!$F$2:$F$13)</f>
        <v>160</v>
      </c>
      <c r="F2" s="5">
        <f>E2/$E$7</f>
        <v>0.2857142857142857</v>
      </c>
      <c r="G2" s="4">
        <f>MIN(100,ROUND(E2/$E$8*100,0))</f>
        <v>100</v>
      </c>
      <c r="H2" s="2" t="s">
        <v>100</v>
      </c>
    </row>
    <row r="3" spans="1:8" ht="33.75">
      <c r="A3" s="2" t="s">
        <v>20</v>
      </c>
      <c r="B3" s="2">
        <f>COUNTIF('Task List'!$B$2:$B$13,A3)</f>
        <v>3</v>
      </c>
      <c r="C3" s="2" t="s">
        <v>101</v>
      </c>
      <c r="D3" s="2" t="s">
        <v>102</v>
      </c>
      <c r="E3" s="4">
        <f>SUMIF('Task List'!$B$2:$B$13,A3,'Task List'!$F$2:$F$13)</f>
        <v>160</v>
      </c>
      <c r="F3" s="5">
        <f>E3/$E$7</f>
        <v>0.2857142857142857</v>
      </c>
      <c r="G3" s="4">
        <f>MIN(100,ROUND(E3/$E$8*100,0))</f>
        <v>100</v>
      </c>
      <c r="H3" s="2" t="s">
        <v>103</v>
      </c>
    </row>
    <row r="4" spans="1:8">
      <c r="A4" s="2" t="s">
        <v>29</v>
      </c>
      <c r="B4" s="2">
        <f>COUNTIF('Task List'!$B$2:$B$13,A4)</f>
        <v>1</v>
      </c>
      <c r="C4" s="2" t="s">
        <v>104</v>
      </c>
      <c r="D4" s="2" t="s">
        <v>105</v>
      </c>
      <c r="E4" s="4">
        <f>SUMIF('Task List'!$B$2:$B$13,A4,'Task List'!$F$2:$F$13)</f>
        <v>80</v>
      </c>
      <c r="F4" s="5">
        <f>E4/$E$7</f>
        <v>0.14285714285714285</v>
      </c>
      <c r="G4" s="4">
        <f>MIN(100,ROUND(E4/$E$8*100,0))</f>
        <v>57</v>
      </c>
      <c r="H4" s="2" t="s">
        <v>106</v>
      </c>
    </row>
    <row r="5" spans="1:8">
      <c r="A5" s="2" t="s">
        <v>37</v>
      </c>
      <c r="B5" s="2">
        <f>COUNTIF('Task List'!$B$2:$B$13,A5)</f>
        <v>3</v>
      </c>
      <c r="C5" s="2" t="s">
        <v>107</v>
      </c>
      <c r="D5" s="2" t="s">
        <v>108</v>
      </c>
      <c r="E5" s="4">
        <f>SUMIF('Task List'!$B$2:$B$13,A5,'Task List'!$F$2:$F$13)</f>
        <v>160</v>
      </c>
      <c r="F5" s="5">
        <f>E5/$E$7</f>
        <v>0.2857142857142857</v>
      </c>
      <c r="G5" s="4">
        <f>MIN(100,ROUND(E5/$E$8*100,0))</f>
        <v>100</v>
      </c>
      <c r="H5" s="2" t="s">
        <v>109</v>
      </c>
    </row>
    <row r="6" spans="1:8" ht="14.25">
      <c r="A6" s="2"/>
      <c r="B6" s="2"/>
      <c r="C6" s="2"/>
      <c r="D6" s="2"/>
      <c r="E6" s="4"/>
      <c r="F6" s="2"/>
      <c r="G6" s="4"/>
      <c r="H6" s="2"/>
    </row>
    <row r="7" spans="1:8">
      <c r="A7" s="9" t="s">
        <v>110</v>
      </c>
      <c r="B7" s="9">
        <f>SUM(B2:B5)</f>
        <v>10</v>
      </c>
      <c r="C7" s="9"/>
      <c r="D7" s="9"/>
      <c r="E7" s="10">
        <f>SUM(E2:E5)</f>
        <v>560</v>
      </c>
      <c r="F7" s="9"/>
      <c r="G7" s="10">
        <f>AVERAGE(G2:G5)</f>
        <v>89.25</v>
      </c>
      <c r="H7" s="9" t="s">
        <v>111</v>
      </c>
    </row>
    <row r="8" spans="1:8">
      <c r="A8" s="9" t="s">
        <v>112</v>
      </c>
      <c r="B8" s="9"/>
      <c r="C8" s="9"/>
      <c r="D8" s="9"/>
      <c r="E8" s="10">
        <f>E7/4</f>
        <v>140</v>
      </c>
      <c r="F8" s="9"/>
      <c r="G8" s="9"/>
      <c r="H8" s="9" t="s">
        <v>113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2026-06-04T12:21:58Z</dcterms:created>
  <dcterms:modified xsi:type="dcterms:W3CDTF">2026-06-04T20:16:01Z</dcterms:modified>
  <cp:category/>
  <cp:contentStatus/>
</cp:coreProperties>
</file>