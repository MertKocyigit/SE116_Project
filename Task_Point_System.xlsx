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9c3d37ba7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List" sheetId="1" r:id="R45095a5993cd406c"/>
    <x:sheet xmlns:r="http://schemas.openxmlformats.org/officeDocument/2006/relationships" name="Developer List" sheetId="2" r:id="R09d883357bd9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5b1c1e2a5483e" /><Relationship Type="http://schemas.openxmlformats.org/officeDocument/2006/relationships/theme" Target="/xl/theme/theme1.xml" Id="Re45fd3ab66b849df" /><Relationship Type="http://schemas.openxmlformats.org/officeDocument/2006/relationships/sharedStrings" Target="/xl/sharedStrings.xml" Id="R6310327b7b2b4c6e" /><Relationship Type="http://schemas.openxmlformats.org/officeDocument/2006/relationships/worksheet" Target="/xl/worksheets/sheet1.xml" Id="R45095a5993cd406c" /><Relationship Type="http://schemas.openxmlformats.org/officeDocument/2006/relationships/worksheet" Target="/xl/worksheets/sheet2.xml" Id="R09d883357bd94a2d" /></Relationships>
</file>

<file path=xl/tables/table1.xml><?xml version="1.0" encoding="utf-8"?>
<x:table xmlns:x="http://schemas.openxmlformats.org/spreadsheetml/2006/main" id="1" name="TaskListTable" displayName="TaskListTable" ref="A1:J12" headerRowCount="1">
  <x:tableColumns count="10">
    <x:tableColumn id="1" name="Task ID"/>
    <x:tableColumn id="2" name="Owner"/>
    <x:tableColumn id="3" name="Milestone"/>
    <x:tableColumn id="4" name="Commit Message"/>
    <x:tableColumn id="5" name="Title / Scope"/>
    <x:tableColumn id="6" name="Weight"/>
    <x:tableColumn id="7" name="Start Date and Time"/>
    <x:tableColumn id="8" name="Completed Date and Time"/>
    <x:tableColumn id="9" name="Files"/>
    <x:tableColumn id="10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DeveloperListTable" displayName="DeveloperListTable" ref="A1:H8" headerRowCount="1">
  <x:tableColumns count="8">
    <x:tableColumn id="1" name="Developer"/>
    <x:tableColumn id="2" name="Tasks"/>
    <x:tableColumn id="3" name="Task IDs"/>
    <x:tableColumn id="4" name="Milestones"/>
    <x:tableColumn id="5" name="Total Weight"/>
    <x:tableColumn id="6" name="Contribution %"/>
    <x:tableColumn id="7" name="Score"/>
    <x:tableColumn id="8" name="Primary 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4796d0cd5f4e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003549b8fb4ee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34" hidden="0" customWidth="1"/>
    <x:col min="5" max="5" width="28" hidden="0" customWidth="1"/>
    <x:col min="6" max="6" width="10" hidden="0" customWidth="1"/>
    <x:col min="7" max="7" width="20" hidden="0" customWidth="1"/>
    <x:col min="8" max="8" width="22" hidden="0" customWidth="1"/>
    <x:col min="9" max="9" width="38" hidden="0" customWidth="1"/>
    <x:col min="10" max="10" width="45" hidden="0" customWidth="1"/>
  </x:cols>
  <x:sheetData>
    <x:row r="1" ht="32" customHeight="1">
      <x:c r="A1" s="14" t="str">
        <x:v>Task ID</x:v>
      </x:c>
      <x:c r="B1" s="14" t="str">
        <x:v>Owner</x:v>
      </x:c>
      <x:c r="C1" s="14" t="str">
        <x:v>Milestone</x:v>
      </x:c>
      <x:c r="D1" s="14" t="str">
        <x:v>Commit Message</x:v>
      </x:c>
      <x:c r="E1" s="14" t="str">
        <x:v>Title / Scope</x:v>
      </x:c>
      <x:c r="F1" s="14" t="str">
        <x:v>Weight</x:v>
      </x:c>
      <x:c r="G1" s="14" t="str">
        <x:v>Start Date and Time</x:v>
      </x:c>
      <x:c r="H1" s="14" t="str">
        <x:v>Completed Date and Time</x:v>
      </x:c>
      <x:c r="I1" s="14" t="str">
        <x:v>Files</x:v>
      </x:c>
      <x:c r="J1" s="14" t="str">
        <x:v>Details</x:v>
      </x:c>
    </x:row>
    <x:row r="2">
      <x:c r="A2" s="15" t="n">
        <x:v>1</x:v>
      </x:c>
      <x:c r="B2" s="15" t="str">
        <x:v>Mert Koçyiğit</x:v>
      </x:c>
      <x:c r="C2" s="15" t="str">
        <x:v>M1</x:v>
      </x:c>
      <x:c r="D2" s="15" t="str">
        <x:v>feat: add base cell model and shared contracts</x:v>
      </x:c>
      <x:c r="E2" s="15" t="str">
        <x:v>Base cell model and shared contracts</x:v>
      </x:c>
      <x:c r="F2" s="20" t="n">
        <x:v>70</x:v>
      </x:c>
      <x:c r="G2" s="18" t="str">
        <x:v>01/05/2026 09:59</x:v>
      </x:c>
      <x:c r="H2" s="18" t="str">
        <x:v>04/05/2026 18:00</x:v>
      </x:c>
      <x:c r="I2" s="15" t="str">
        <x:v>src/cell/Cell.java
src/cell/EmptyCell.java
src/cell/Road.java
src/interfaces/Connectable.java
src/interfaces/Producible.java
src/enums/UtilityType.java
src/enums/ServiceType.java
src/enums/ResourceType.java</x:v>
      </x:c>
      <x:c r="J2" s="15" t="str">
        <x:v>Created the core Cell hierarchy foundation, empty/road cells, shared interfaces, and common enums.</x:v>
      </x:c>
    </x:row>
    <x:row r="3">
      <x:c r="A3" s="15" t="n">
        <x:v>2</x:v>
      </x:c>
      <x:c r="B3" s="15" t="str">
        <x:v>Elif Çarıkçı</x:v>
      </x:c>
      <x:c r="C3" s="15" t="str">
        <x:v>M2</x:v>
      </x:c>
      <x:c r="D3" s="15" t="str">
        <x:v>feat: implement map loading and cell creation</x:v>
      </x:c>
      <x:c r="E3" s="15" t="str">
        <x:v>Map loading and cell creation</x:v>
      </x:c>
      <x:c r="F3" s="20" t="n">
        <x:v>60</x:v>
      </x:c>
      <x:c r="G3" s="18" t="str">
        <x:v>04/05/2026 11:00</x:v>
      </x:c>
      <x:c r="H3" s="18" t="str">
        <x:v>08/05/2026 17:29</x:v>
      </x:c>
      <x:c r="I3" s="15" t="str">
        <x:v>src/city/City.java</x:v>
      </x:c>
      <x:c r="J3" s="15" t="str">
        <x:v>Implemented city map loading, parsing, validation, and cell creation from map symbols.</x:v>
      </x:c>
    </x:row>
    <x:row r="4">
      <x:c r="A4" s="15" t="n">
        <x:v>3</x:v>
      </x:c>
      <x:c r="B4" s="15" t="str">
        <x:v>Deren Kocabaş</x:v>
      </x:c>
      <x:c r="C4" s="15" t="str">
        <x:v>M2</x:v>
      </x:c>
      <x:c r="D4" s="15" t="str">
        <x:v>feat: add zone types and production logic</x:v>
      </x:c>
      <x:c r="E4" s="15" t="str">
        <x:v>Zone types and production logic</x:v>
      </x:c>
      <x:c r="F4" s="20" t="n">
        <x:v>80</x:v>
      </x:c>
      <x:c r="G4" s="18" t="str">
        <x:v>08/05/2026 12:00</x:v>
      </x:c>
      <x:c r="H4" s="18" t="str">
        <x:v>13/05/2026 18:59</x:v>
      </x:c>
      <x:c r="I4" s="15" t="str">
        <x:v>src/cell/zone/Zone.java
src/cell/zone/Housing.java
src/cell/zone/Industrial.java
src/cell/zone/Commercial.java</x:v>
      </x:c>
      <x:c r="J4" s="15" t="str">
        <x:v>Implemented zone abstraction and housing, industrial, and commercial production behavior.</x:v>
      </x:c>
    </x:row>
    <x:row r="5">
      <x:c r="A5" s="15" t="n">
        <x:v>4</x:v>
      </x:c>
      <x:c r="B5" s="15" t="str">
        <x:v>Arda Abacı</x:v>
      </x:c>
      <x:c r="C5" s="15" t="str">
        <x:v>M3</x:v>
      </x:c>
      <x:c r="D5" s="15" t="str">
        <x:v>feat: add utility providers</x:v>
      </x:c>
      <x:c r="E5" s="15" t="str">
        <x:v>Utility providers</x:v>
      </x:c>
      <x:c r="F5" s="20" t="n">
        <x:v>50</x:v>
      </x:c>
      <x:c r="G5" s="18" t="str">
        <x:v>12/05/2026 14:00</x:v>
      </x:c>
      <x:c r="H5" s="18" t="str">
        <x:v>25/05/2026 14:44</x:v>
      </x:c>
      <x:c r="I5" s="15" t="str">
        <x:v>src/cell/utility/UtilityProvider.java
src/cell/utility/PowerPlant.java
src/cell/utility/WaterStation.java
src/cell/utility/InternetHub.java</x:v>
      </x:c>
      <x:c r="J5" s="15" t="str">
        <x:v>Implemented utility provider abstraction and electricity, water, and internet provider classes.</x:v>
      </x:c>
    </x:row>
    <x:row r="6">
      <x:c r="A6" s="15" t="n">
        <x:v>5</x:v>
      </x:c>
      <x:c r="B6" s="15" t="str">
        <x:v>Arda Abacı</x:v>
      </x:c>
      <x:c r="C6" s="15" t="str">
        <x:v>M3</x:v>
      </x:c>
      <x:c r="D6" s="15" t="str">
        <x:v>feat: add service providers</x:v>
      </x:c>
      <x:c r="E6" s="15" t="str">
        <x:v>Service providers</x:v>
      </x:c>
      <x:c r="F6" s="20" t="n">
        <x:v>50</x:v>
      </x:c>
      <x:c r="G6" s="18" t="str">
        <x:v>25/05/2026 14:45</x:v>
      </x:c>
      <x:c r="H6" s="18" t="str">
        <x:v>25/05/2026 18:16</x:v>
      </x:c>
      <x:c r="I6" s="15" t="str">
        <x:v>src/cell/service/ServiceProvider.java
src/cell/service/PoliceStation.java
src/cell/service/Hospital.java
src/cell/service/School.java</x:v>
      </x:c>
      <x:c r="J6" s="15" t="str">
        <x:v>Implemented service provider abstraction and security, health, and education provider classes.</x:v>
      </x:c>
    </x:row>
    <x:row r="7">
      <x:c r="A7" s="15" t="n">
        <x:v>6</x:v>
      </x:c>
      <x:c r="B7" s="15" t="str">
        <x:v>Deren Kocabaş</x:v>
      </x:c>
      <x:c r="C7" s="15" t="str">
        <x:v>M3</x:v>
      </x:c>
      <x:c r="D7" s="15" t="str">
        <x:v>feat: implement city simulation loop</x:v>
      </x:c>
      <x:c r="E7" s="15" t="str">
        <x:v>City simulation loop</x:v>
      </x:c>
      <x:c r="F7" s="20" t="n">
        <x:v>80</x:v>
      </x:c>
      <x:c r="G7" s="18" t="str">
        <x:v>17/05/2026 15:00</x:v>
      </x:c>
      <x:c r="H7" s="18" t="str">
        <x:v>21/05/2026 21:00</x:v>
      </x:c>
      <x:c r="I7" s="15" t="str">
        <x:v>src/city/Simulation.java</x:v>
      </x:c>
      <x:c r="J7" s="15" t="str">
        <x:v>Implemented the main city simulation loop and tick-based update flow.</x:v>
      </x:c>
    </x:row>
    <x:row r="8">
      <x:c r="A8" s="15" t="n">
        <x:v>7</x:v>
      </x:c>
      <x:c r="B8" s="15" t="str">
        <x:v>Mert Koçyiğit</x:v>
      </x:c>
      <x:c r="C8" s="15" t="str">
        <x:v>M4</x:v>
      </x:c>
      <x:c r="D8" s="15" t="str">
        <x:v>feat: add command line runner</x:v>
      </x:c>
      <x:c r="E8" s="15" t="str">
        <x:v>Command line runner</x:v>
      </x:c>
      <x:c r="F8" s="20" t="n">
        <x:v>40</x:v>
      </x:c>
      <x:c r="G8" s="18" t="str">
        <x:v>21/05/2026 10:30</x:v>
      </x:c>
      <x:c r="H8" s="18" t="str">
        <x:v>23/05/2026 20:00</x:v>
      </x:c>
      <x:c r="I8" s="15" t="str">
        <x:v>src/ObjectVilleGame.java</x:v>
      </x:c>
      <x:c r="J8" s="15" t="str">
        <x:v>Added command line entry point for running the ObjectVille game/simulation.</x:v>
      </x:c>
    </x:row>
    <x:row r="9">
      <x:c r="A9" s="15" t="n">
        <x:v>8</x:v>
      </x:c>
      <x:c r="B9" s="15" t="str">
        <x:v>Elif Çarıkçı</x:v>
      </x:c>
      <x:c r="C9" s="15" t="str">
        <x:v>M4</x:v>
      </x:c>
      <x:c r="D9" s="15" t="str">
        <x:v>docs: add project report</x:v>
      </x:c>
      <x:c r="E9" s="15" t="str">
        <x:v>Project report</x:v>
      </x:c>
      <x:c r="F9" s="20" t="n">
        <x:v>70</x:v>
      </x:c>
      <x:c r="G9" s="18" t="str">
        <x:v>23/05/2026 09:59</x:v>
      </x:c>
      <x:c r="H9" s="18" t="str">
        <x:v>27/05/2026 18:00</x:v>
      </x:c>
      <x:c r="I9" s="15" t="str">
        <x:v>report/ObjectVilleII_Project_Report.pdf</x:v>
      </x:c>
      <x:c r="J9" s="15" t="str">
        <x:v>Prepared and added the final project report document.</x:v>
      </x:c>
    </x:row>
    <x:row r="10">
      <x:c r="A10" s="15" t="n">
        <x:v>9</x:v>
      </x:c>
      <x:c r="B10" s="15" t="str">
        <x:v>Arda Abacı</x:v>
      </x:c>
      <x:c r="C10" s="15" t="str">
        <x:v>M4</x:v>
      </x:c>
      <x:c r="D10" s="15" t="str">
        <x:v>build: add build scripts and runnable jar</x:v>
      </x:c>
      <x:c r="E10" s="15" t="str">
        <x:v>Build scripts and runnable JAR</x:v>
      </x:c>
      <x:c r="F10" s="20" t="n">
        <x:v>60</x:v>
      </x:c>
      <x:c r="G10" s="18" t="str">
        <x:v>26/05/2026 12:00</x:v>
      </x:c>
      <x:c r="H10" s="18" t="str">
        <x:v>31/05/2026 14:18</x:v>
      </x:c>
      <x:c r="I10" s="15" t="str">
        <x:v>build.bat
build.sh
manifest.mf
ObjectVilleGame.jar</x:v>
      </x:c>
      <x:c r="J10" s="15" t="str">
        <x:v>Added build scripts, manifest file, and runnable JAR package.</x:v>
      </x:c>
    </x:row>
    <x:row r="11">
      <x:c r="A11" s="15" t="n">
        <x:v>10</x:v>
      </x:c>
      <x:c r="B11" s="15" t="str">
        <x:v>Mert Koçyiğit</x:v>
      </x:c>
      <x:c r="C11" s="15" t="str">
        <x:v>M5</x:v>
      </x:c>
      <x:c r="D11" s="15" t="str">
        <x:v>chore: add task point spreadsheet</x:v>
      </x:c>
      <x:c r="E11" s="15" t="str">
        <x:v>Task point spreadsheet</x:v>
      </x:c>
      <x:c r="F11" s="20" t="n">
        <x:v>50</x:v>
      </x:c>
      <x:c r="G11" s="18" t="str">
        <x:v>29/05/2026 12:59</x:v>
      </x:c>
      <x:c r="H11" s="18" t="str">
        <x:v>31/05/2026 18:59</x:v>
      </x:c>
      <x:c r="I11" s="15" t="str">
        <x:v>Task_Point_System.xlsx</x:v>
      </x:c>
      <x:c r="J11" s="15" t="str">
        <x:v>Added the corrected task point spreadsheet according to the submission plan.</x:v>
      </x:c>
    </x:row>
    <x:row r="12">
      <x:c r="A12" s="15" t="n">
        <x:v>11</x:v>
      </x:c>
      <x:c r="B12" s="15" t="str">
        <x:v>Elif Çarıkçı</x:v>
      </x:c>
      <x:c r="C12" s="15" t="str">
        <x:v>M5</x:v>
      </x:c>
      <x:c r="D12" s="15" t="str">
        <x:v>chore: add developer contribution list</x:v>
      </x:c>
      <x:c r="E12" s="15" t="str">
        <x:v>Developer contribution list</x:v>
      </x:c>
      <x:c r="F12" s="20" t="n">
        <x:v>30</x:v>
      </x:c>
      <x:c r="G12" s="18" t="str">
        <x:v>31/05/2026 12:00</x:v>
      </x:c>
      <x:c r="H12" s="18" t="str">
        <x:v>02/06/2026 21:00</x:v>
      </x:c>
      <x:c r="I12" s="15" t="str">
        <x:v>Developer_List.csv</x:v>
      </x:c>
      <x:c r="J12" s="15" t="str">
        <x:v>Added developer contribution list as a separate CSV file for the final submission.</x:v>
      </x:c>
    </x:row>
  </x:sheetData>
  <x:pageMargins left="0.7" right="0.7" top="0.75" bottom="0.75" header="0.3" footer="0.3"/>
  <x:tableParts count="1">
    <x:tablePart xmlns:r="http://schemas.openxmlformats.org/officeDocument/2006/relationships" r:id="Rcc4796d0cd5f4e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6.860000133514404" hidden="0" customWidth="1"/>
    <x:col min="3" max="3" width="9.149999618530273" hidden="0" customWidth="1"/>
    <x:col min="4" max="4" width="11.569999694824219" hidden="0" customWidth="1"/>
    <x:col min="5" max="5" width="12.920000076293945" hidden="0" customWidth="1"/>
    <x:col min="6" max="6" width="14.9399995803833" hidden="0" customWidth="1"/>
    <x:col min="7" max="7" width="7.130000114440918" hidden="0" customWidth="1"/>
    <x:col min="8" max="8" width="51.279998779296875" hidden="0" customWidth="1"/>
  </x:cols>
  <x:sheetData>
    <x:row r="1">
      <x:c r="A1" s="14" t="str">
        <x:v>Developer</x:v>
      </x:c>
      <x:c r="B1" s="14" t="str">
        <x:v>Tasks</x:v>
      </x:c>
      <x:c r="C1" s="14" t="str">
        <x:v>Task IDs</x:v>
      </x:c>
      <x:c r="D1" s="14" t="str">
        <x:v>Milestones</x:v>
      </x:c>
      <x:c r="E1" s="14" t="str">
        <x:v>Total Weight</x:v>
      </x:c>
      <x:c r="F1" s="14" t="str">
        <x:v>Contribution %</x:v>
      </x:c>
      <x:c r="G1" s="14" t="str">
        <x:v>Score</x:v>
      </x:c>
      <x:c r="H1" s="14" t="str">
        <x:v>Primary Role</x:v>
      </x:c>
    </x:row>
    <x:row r="2">
      <x:c r="A2" s="15" t="str">
        <x:v>Mert Koçyiğit</x:v>
      </x:c>
      <x:c r="B2" s="15" t="n">
        <x:f>COUNTIF('Task List'!$B$2:$B$12,A2)</x:f>
        <x:v>3</x:v>
      </x:c>
      <x:c r="C2" s="15" t="str">
        <x:v>1, 7, 10</x:v>
      </x:c>
      <x:c r="D2" s="15" t="str">
        <x:v>M1, M4, M5</x:v>
      </x:c>
      <x:c r="E2" s="20" t="n">
        <x:f>SUMIF('Task List'!$B$2:$B$12,A2,'Task List'!$F$2:$F$12)</x:f>
        <x:v>160</x:v>
      </x:c>
      <x:c r="F2" s="22" t="n">
        <x:f>E2/$E$7</x:f>
        <x:v>0.25</x:v>
      </x:c>
      <x:c r="G2" s="20" t="n">
        <x:f>MIN(100,ROUND(E2/$E$8*100,0))</x:f>
        <x:v>100</x:v>
      </x:c>
      <x:c r="H2" s="15" t="str">
        <x:v>Core cell model, interfaces, enums; CLI runner; task spreadsheet</x:v>
      </x:c>
    </x:row>
    <x:row r="3">
      <x:c r="A3" s="15" t="str">
        <x:v>Elif Çarıkçı</x:v>
      </x:c>
      <x:c r="B3" s="15" t="n">
        <x:f>COUNTIF('Task List'!$B$2:$B$12,A3)</x:f>
        <x:v>3</x:v>
      </x:c>
      <x:c r="C3" s="15" t="str">
        <x:v>2, 8, 11</x:v>
      </x:c>
      <x:c r="D3" s="15" t="str">
        <x:v>M2, M4, M5</x:v>
      </x:c>
      <x:c r="E3" s="20" t="n">
        <x:f>SUMIF('Task List'!$B$2:$B$12,A3,'Task List'!$F$2:$F$12)</x:f>
        <x:v>160</x:v>
      </x:c>
      <x:c r="F3" s="22" t="n">
        <x:f>E3/$E$7</x:f>
        <x:v>0.25</x:v>
      </x:c>
      <x:c r="G3" s="20" t="n">
        <x:f>MIN(100,ROUND(E3/$E$8*100,0))</x:f>
        <x:v>100</x:v>
      </x:c>
      <x:c r="H3" s="15" t="str">
        <x:v>Map loading &amp; cell creation (City); project report; developer list</x:v>
      </x:c>
    </x:row>
    <x:row r="4">
      <x:c r="A4" s="15" t="str">
        <x:v>Deren Kocabaş</x:v>
      </x:c>
      <x:c r="B4" s="15" t="n">
        <x:f>COUNTIF('Task List'!$B$2:$B$12,A4)</x:f>
        <x:v>2</x:v>
      </x:c>
      <x:c r="C4" s="15" t="str">
        <x:v>3, 6</x:v>
      </x:c>
      <x:c r="D4" s="15" t="str">
        <x:v>M2, M3</x:v>
      </x:c>
      <x:c r="E4" s="20" t="n">
        <x:f>SUMIF('Task List'!$B$2:$B$12,A4,'Task List'!$F$2:$F$12)</x:f>
        <x:v>160</x:v>
      </x:c>
      <x:c r="F4" s="22" t="n">
        <x:f>E4/$E$7</x:f>
        <x:v>0.25</x:v>
      </x:c>
      <x:c r="G4" s="20" t="n">
        <x:f>MIN(100,ROUND(E4/$E$8*100,0))</x:f>
        <x:v>100</x:v>
      </x:c>
      <x:c r="H4" s="15" t="str">
        <x:v>Zone hierarchy &amp; production logic; city simulation loop</x:v>
      </x:c>
    </x:row>
    <x:row r="5">
      <x:c r="A5" s="15" t="str">
        <x:v>Arda Abacı</x:v>
      </x:c>
      <x:c r="B5" s="15" t="n">
        <x:f>COUNTIF('Task List'!$B$2:$B$12,A5)</x:f>
        <x:v>3</x:v>
      </x:c>
      <x:c r="C5" s="15" t="str">
        <x:v>4, 5, 9</x:v>
      </x:c>
      <x:c r="D5" s="15" t="str">
        <x:v>M3, M4</x:v>
      </x:c>
      <x:c r="E5" s="20" t="n">
        <x:f>SUMIF('Task List'!$B$2:$B$12,A5,'Task List'!$F$2:$F$12)</x:f>
        <x:v>160</x:v>
      </x:c>
      <x:c r="F5" s="22" t="n">
        <x:f>E5/$E$7</x:f>
        <x:v>0.25</x:v>
      </x:c>
      <x:c r="G5" s="20" t="n">
        <x:f>MIN(100,ROUND(E5/$E$8*100,0))</x:f>
        <x:v>100</x:v>
      </x:c>
      <x:c r="H5" s="15" t="str">
        <x:v>Utility providers; service providers; build scripts &amp; runnable JAR</x:v>
      </x:c>
    </x:row>
    <x:row r="6">
      <x:c r="A6" s="15"/>
      <x:c r="B6" s="15"/>
      <x:c r="C6" s="15"/>
      <x:c r="D6" s="15"/>
      <x:c r="E6" s="20"/>
      <x:c r="F6" s="15"/>
      <x:c r="G6" s="20"/>
      <x:c r="H6" s="15"/>
    </x:row>
    <x:row r="7">
      <x:c r="A7" s="24" t="str">
        <x:v>TEAM TOTAL</x:v>
      </x:c>
      <x:c r="B7" s="24" t="n">
        <x:f>SUM(B2:B5)</x:f>
        <x:v>11</x:v>
      </x:c>
      <x:c r="C7" s="24"/>
      <x:c r="D7" s="24"/>
      <x:c r="E7" s="25" t="n">
        <x:f>SUM(E2:E5)</x:f>
        <x:v>640</x:v>
      </x:c>
      <x:c r="F7" s="24"/>
      <x:c r="G7" s="25" t="n">
        <x:f>AVERAGE(G2:G5)</x:f>
        <x:v>100</x:v>
      </x:c>
      <x:c r="H7" s="24" t="str">
        <x:v>Average score across all developers</x:v>
      </x:c>
    </x:row>
    <x:row r="8">
      <x:c r="A8" s="24" t="str">
        <x:v>TEAM AVERAGE</x:v>
      </x:c>
      <x:c r="B8" s="24"/>
      <x:c r="C8" s="24"/>
      <x:c r="D8" s="24"/>
      <x:c r="E8" s="25" t="n">
        <x:f>E7/4</x:f>
        <x:v>160</x:v>
      </x:c>
      <x:c r="F8" s="24"/>
      <x:c r="G8" s="24"/>
      <x:c r="H8" s="24" t="str">
        <x:v>Expected points per developer</x:v>
      </x:c>
    </x:row>
  </x:sheetData>
  <x:pageMargins left="0.7" right="0.7" top="0.75" bottom="0.75" header="0.3" footer="0.3"/>
  <x:tableParts count="1">
    <x:tablePart xmlns:r="http://schemas.openxmlformats.org/officeDocument/2006/relationships" r:id="R7c003549b8fb4ee9"/>
  </x:tableParts>
</x:worksheet>
</file>